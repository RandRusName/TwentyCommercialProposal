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G:\Мой диск\Mikoton\КП\"/>
    </mc:Choice>
  </mc:AlternateContent>
  <xr:revisionPtr revIDLastSave="0" documentId="13_ncr:1_{72D6DB80-F922-42AB-867B-AB774A28505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КП" sheetId="1" r:id="rId1"/>
  </sheets>
  <functionGroups builtInGroupCount="19"/>
  <definedNames>
    <definedName name="_xlnm.Print_Area" localSheetId="0">КП!$A$1:$I$37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22" i="1"/>
  <c r="I21" i="1"/>
  <c r="I20" i="1"/>
  <c r="I19" i="1"/>
  <c r="I18" i="1"/>
  <c r="I17" i="1"/>
</calcChain>
</file>

<file path=xl/sharedStrings.xml><?xml version="1.0" encoding="utf-8"?>
<sst xmlns="http://schemas.openxmlformats.org/spreadsheetml/2006/main" count="75" uniqueCount="71">
  <si>
    <t>MIKOTON</t>
  </si>
  <si>
    <t>КОММЕРЧЕСКОЕ ПРЕДЛОЖЕНИЕ</t>
  </si>
  <si>
    <t>IT-консалтинг • процессы • автоматизация • разработка</t>
  </si>
  <si>
    <t>КП № KP-0001 от</t>
  </si>
  <si>
    <t>Реализация коннектора к дистрибьюторам для автоматического получения цен</t>
  </si>
  <si>
    <t>ЗАКАЗЧИК</t>
  </si>
  <si>
    <t>ИСПОЛНИТЕЛЬ</t>
  </si>
  <si>
    <t>ПАРАМЕТРЫ</t>
  </si>
  <si>
    <t>Компания</t>
  </si>
  <si>
    <t>ООО «Промобит»</t>
  </si>
  <si>
    <t>Контакт</t>
  </si>
  <si>
    <t>Шибеев Роман</t>
  </si>
  <si>
    <t>Срок действия</t>
  </si>
  <si>
    <t>14 дней</t>
  </si>
  <si>
    <t>Иванов Александр</t>
  </si>
  <si>
    <t>Email</t>
  </si>
  <si>
    <t>consulting@mikoton.ru</t>
  </si>
  <si>
    <t>Валюта</t>
  </si>
  <si>
    <t>RUB</t>
  </si>
  <si>
    <t>01</t>
  </si>
  <si>
    <t>Контекст и цель</t>
  </si>
  <si>
    <t xml:space="preserve">Цель работ — реализовать интеграции с основными дистрибьюторами (Merlion, Osc, Treolan и т.д.) для автоматического получения и обновления цен на компоненты и учёт цен в формируемых конфигурациях </t>
  </si>
  <si>
    <t>02</t>
  </si>
  <si>
    <t>Состав работ и стоимость</t>
  </si>
  <si>
    <t>№</t>
  </si>
  <si>
    <t>Блок работ</t>
  </si>
  <si>
    <t>Описание</t>
  </si>
  <si>
    <t>Кол-во</t>
  </si>
  <si>
    <t>Ед.</t>
  </si>
  <si>
    <t>Ставка, ₽</t>
  </si>
  <si>
    <t>Скидка</t>
  </si>
  <si>
    <t>Сумма, ₽</t>
  </si>
  <si>
    <t>Анализ</t>
  </si>
  <si>
    <t>Сбор требований, получение доступов</t>
  </si>
  <si>
    <t>час</t>
  </si>
  <si>
    <t>Проектирование</t>
  </si>
  <si>
    <t>Изучение документации по API и правил интеграции, проектирование решения</t>
  </si>
  <si>
    <t>Разработка</t>
  </si>
  <si>
    <t>Интеграция с дистрибьюторами, обработка данных внутри, реализация UI / UX требований</t>
  </si>
  <si>
    <t>Приёмо-сдаточные испытания</t>
  </si>
  <si>
    <t>Пилот, обучение команды, сопровождение</t>
  </si>
  <si>
    <t>Исправление дефектов после сдачи</t>
  </si>
  <si>
    <t>Исправление ошибок с SLA 1 сутки</t>
  </si>
  <si>
    <t>пакет</t>
  </si>
  <si>
    <t>Итого без НДС, ₽</t>
  </si>
  <si>
    <t>03</t>
  </si>
  <si>
    <t>План работ</t>
  </si>
  <si>
    <t>Этап</t>
  </si>
  <si>
    <t>Содержание</t>
  </si>
  <si>
    <t>Результат</t>
  </si>
  <si>
    <t>Срок</t>
  </si>
  <si>
    <t>1</t>
  </si>
  <si>
    <t>Старт и диагностика</t>
  </si>
  <si>
    <t xml:space="preserve">Зафиксированные требования и переданные доступы / ключи </t>
  </si>
  <si>
    <t>2 дня</t>
  </si>
  <si>
    <t>2</t>
  </si>
  <si>
    <t>Проектирование и разработка</t>
  </si>
  <si>
    <t>Развернутая система на стороне исполнителя</t>
  </si>
  <si>
    <t>1–2 недели</t>
  </si>
  <si>
    <t>3</t>
  </si>
  <si>
    <t>Передача результатов</t>
  </si>
  <si>
    <t>Обучение, корректировки, рекомендации</t>
  </si>
  <si>
    <t>1 неделя</t>
  </si>
  <si>
    <t>04</t>
  </si>
  <si>
    <t>Условия и допущения</t>
  </si>
  <si>
    <t>Оплата: 100% после передачи результатов. Сроки фиксируются после согласования доступа к данным и участникам.</t>
  </si>
  <si>
    <t>В предложение не входят лицензии стороннего ПО, командировочные расходы и разработка вне согласованного объёма работ.
Цена может быть пересмотрена после уточнения списка интеграций.</t>
  </si>
  <si>
    <t>05</t>
  </si>
  <si>
    <t>Следующий шаг</t>
  </si>
  <si>
    <t>Для запуска работ достаточно согласовать состав работ, финальную стоимость и дату старта. После подтверждения подготавливается договор / счёт и календарный план.</t>
  </si>
  <si>
    <t>MIKOTON · consulting@mikoton.ru · КП действительно в течение 14 календарных дней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</si>
</sst>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\₽"/>
  </numFmts>
  <fonts count="21">
    <font>
      <sz val="11"/>
      <name val="Carlito"/>
    </font>
    <font>
      <sz val="11"/>
      <name val="Carlito"/>
    </font>
    <font>
      <sz val="11"/>
      <color rgb="FF000000"/>
      <name val="Carlito"/>
    </font>
    <font>
      <sz val="9.5"/>
      <color rgb="FF24303A"/>
      <name val="Aptos"/>
    </font>
    <font>
      <b/>
      <sz val="18"/>
      <color rgb="FF24303A"/>
      <name val="Aptos Display"/>
    </font>
    <font>
      <b/>
      <sz val="12.5"/>
      <color rgb="FF24303A"/>
      <name val="Aptos"/>
    </font>
    <font>
      <sz val="8.8000000000000007"/>
      <color rgb="FF66717C"/>
      <name val="Aptos"/>
    </font>
    <font>
      <sz val="8.8000000000000007"/>
      <color rgb="FF24303A"/>
      <name val="Aptos"/>
    </font>
    <font>
      <b/>
      <sz val="14.5"/>
      <color rgb="FF24303A"/>
      <name val="Aptos Display"/>
    </font>
    <font>
      <b/>
      <sz val="8.5"/>
      <color rgb="FF24303A"/>
      <name val="Aptos"/>
    </font>
    <font>
      <b/>
      <sz val="8.1999999999999993"/>
      <color rgb="FF7B8791"/>
      <name val="Aptos"/>
    </font>
    <font>
      <sz val="9.1999999999999993"/>
      <color rgb="FF24303A"/>
      <name val="Aptos"/>
    </font>
    <font>
      <b/>
      <sz val="9"/>
      <color rgb="FF9A8668"/>
      <name val="Aptos"/>
    </font>
    <font>
      <b/>
      <sz val="10.5"/>
      <color rgb="FF24303A"/>
      <name val="Aptos Display"/>
    </font>
    <font>
      <b/>
      <sz val="8.8000000000000007"/>
      <color rgb="FF24303A"/>
      <name val="Aptos"/>
    </font>
    <font>
      <b/>
      <sz val="9.5"/>
      <color rgb="FF24303A"/>
      <name val="Aptos"/>
    </font>
    <font>
      <b/>
      <sz val="9"/>
      <color rgb="FF66717C"/>
      <name val="Aptos"/>
    </font>
    <font>
      <b/>
      <sz val="12"/>
      <color rgb="FF24303A"/>
      <name val="Aptos Display"/>
    </font>
    <font>
      <b/>
      <sz val="8.8000000000000007"/>
      <color rgb="FF9A8668"/>
      <name val="Aptos"/>
    </font>
    <font>
      <sz val="9"/>
      <color rgb="FF24303A"/>
      <name val="Aptos"/>
    </font>
    <font>
      <sz val="8.1999999999999993"/>
      <color rgb="FF66717C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7F8FA"/>
      </patternFill>
    </fill>
    <fill>
      <patternFill patternType="solid">
        <fgColor rgb="FFEEF1F4"/>
      </patternFill>
    </fill>
    <fill>
      <patternFill patternType="solid">
        <fgColor rgb="FFF4F1EA"/>
      </patternFill>
    </fill>
    <fill>
      <patternFill patternType="solid">
        <fgColor rgb="FFF8F6F1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9A8668"/>
      </bottom>
      <diagonal/>
    </border>
    <border>
      <left/>
      <right/>
      <top/>
      <bottom style="medium">
        <color rgb="FFD9DEE4"/>
      </bottom>
      <diagonal/>
    </border>
    <border>
      <left style="thin">
        <color rgb="FFE8EBEF"/>
      </left>
      <right style="thin">
        <color rgb="FFE8EBEF"/>
      </right>
      <top style="thin">
        <color rgb="FFE8EBEF"/>
      </top>
      <bottom style="thin">
        <color rgb="FFE8EBEF"/>
      </bottom>
      <diagonal/>
    </border>
    <border>
      <left/>
      <right/>
      <top/>
      <bottom style="thin">
        <color rgb="FFE8EBEF"/>
      </bottom>
      <diagonal/>
    </border>
    <border>
      <left style="thin">
        <color rgb="FFE8EBEF"/>
      </left>
      <right style="thin">
        <color rgb="FFE8EBEF"/>
      </right>
      <top style="thin">
        <color rgb="FFD9DEE4"/>
      </top>
      <bottom style="thin">
        <color rgb="FFD9DEE4"/>
      </bottom>
      <diagonal/>
    </border>
    <border>
      <left style="thin">
        <color rgb="FFE8EBEF"/>
      </left>
      <right style="thin">
        <color rgb="FFE8EBEF"/>
      </right>
      <top/>
      <bottom style="thin">
        <color rgb="FFE8EBEF"/>
      </bottom>
      <diagonal/>
    </border>
    <border>
      <left/>
      <right/>
      <top style="medium">
        <color rgb="FF9A8668"/>
      </top>
      <bottom style="thin">
        <color rgb="FFE8EBEF"/>
      </bottom>
      <diagonal/>
    </border>
    <border>
      <left/>
      <right/>
      <top style="thin">
        <color rgb="FFD9DEE4"/>
      </top>
      <bottom/>
      <diagonal/>
    </border>
    <border>
      <left style="thin">
        <color rgb="FFE8EBEF"/>
      </left>
      <right/>
      <top style="thin">
        <color rgb="FFE8EBEF"/>
      </top>
      <bottom style="thin">
        <color rgb="FFE8EBEF"/>
      </bottom>
      <diagonal/>
    </border>
    <border>
      <left/>
      <right/>
      <top style="thin">
        <color rgb="FFE8EBEF"/>
      </top>
      <bottom style="thin">
        <color rgb="FFE8EBEF"/>
      </bottom>
      <diagonal/>
    </border>
    <border>
      <left/>
      <right style="thin">
        <color rgb="FFE8EBEF"/>
      </right>
      <top style="thin">
        <color rgb="FFE8EBEF"/>
      </top>
      <bottom style="thin">
        <color rgb="FFE8EBEF"/>
      </bottom>
      <diagonal/>
    </border>
    <border>
      <left style="thin">
        <color rgb="FFE8EBEF"/>
      </left>
      <right/>
      <top/>
      <bottom style="thin">
        <color rgb="FFE8EBEF"/>
      </bottom>
      <diagonal/>
    </border>
    <border>
      <left/>
      <right style="thin">
        <color rgb="FFE8EBEF"/>
      </right>
      <top/>
      <bottom style="thin">
        <color rgb="FFE8EBEF"/>
      </bottom>
      <diagonal/>
    </border>
    <border>
      <left style="thin">
        <color rgb="FFE8EBEF"/>
      </left>
      <right/>
      <top style="thin">
        <color rgb="FF9A8668"/>
      </top>
      <bottom style="thin">
        <color rgb="FFD9DEE4"/>
      </bottom>
      <diagonal/>
    </border>
    <border>
      <left/>
      <right/>
      <top style="thin">
        <color rgb="FF9A8668"/>
      </top>
      <bottom style="thin">
        <color rgb="FFD9DEE4"/>
      </bottom>
      <diagonal/>
    </border>
    <border>
      <left/>
      <right style="thin">
        <color rgb="FFE8EBEF"/>
      </right>
      <top style="thin">
        <color rgb="FF9A8668"/>
      </top>
      <bottom style="thin">
        <color rgb="FFD9DEE4"/>
      </bottom>
      <diagonal/>
    </border>
  </borders>
  <cellStyleXfs count="2">
    <xf numFmtId="0" fontId="0" fillId="0" borderId="1"/>
    <xf numFmtId="0" fontId="1" fillId="0" borderId="1"/>
  </cellStyleXfs>
  <cellXfs count="67">
    <xf numFmtId="0" fontId="0" fillId="0" borderId="0" xfId="0" applyBorder="1"/>
    <xf numFmtId="0" fontId="0" fillId="0" borderId="1" xfId="0"/>
    <xf numFmtId="0" fontId="0" fillId="0" borderId="0" xfId="0" applyBorder="1"/>
    <xf numFmtId="0" fontId="3" fillId="2" borderId="2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0" fillId="3" borderId="5" xfId="0" applyFont="1" applyFill="1" applyBorder="1" applyAlignment="1">
      <alignment horizontal="left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4" fillId="4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left" vertical="center" wrapText="1"/>
    </xf>
    <xf numFmtId="1" fontId="7" fillId="2" borderId="8" xfId="0" applyNumberFormat="1" applyFont="1" applyFill="1" applyBorder="1" applyAlignment="1">
      <alignment horizontal="center" vertical="center" wrapText="1"/>
    </xf>
    <xf numFmtId="9" fontId="7" fillId="2" borderId="8" xfId="0" applyNumberFormat="1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1" fontId="7" fillId="3" borderId="8" xfId="0" applyNumberFormat="1" applyFont="1" applyFill="1" applyBorder="1" applyAlignment="1">
      <alignment horizontal="center" vertical="center" wrapText="1"/>
    </xf>
    <xf numFmtId="9" fontId="7" fillId="3" borderId="8" xfId="0" applyNumberFormat="1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left" vertical="center" wrapText="1"/>
    </xf>
    <xf numFmtId="164" fontId="17" fillId="5" borderId="9" xfId="0" applyNumberFormat="1" applyFont="1" applyFill="1" applyBorder="1" applyAlignment="1">
      <alignment horizontal="right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 wrapText="1"/>
    </xf>
    <xf numFmtId="0" fontId="19" fillId="2" borderId="2" xfId="0" applyFont="1" applyFill="1" applyBorder="1"/>
    <xf numFmtId="0" fontId="19" fillId="2" borderId="2" xfId="0" applyFont="1" applyFill="1" applyBorder="1" applyAlignment="1">
      <alignment vertical="center"/>
    </xf>
    <xf numFmtId="0" fontId="19" fillId="2" borderId="2" xfId="1" applyFont="1" applyFill="1" applyBorder="1" applyAlignment="1">
      <alignment vertical="top" wrapText="1"/>
    </xf>
    <xf numFmtId="49" fontId="12" fillId="2" borderId="3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right" vertical="center" wrapText="1" indent="1"/>
    </xf>
    <xf numFmtId="164" fontId="7" fillId="3" borderId="8" xfId="0" applyNumberFormat="1" applyFont="1" applyFill="1" applyBorder="1" applyAlignment="1">
      <alignment horizontal="right" vertical="center" wrapText="1" indent="1"/>
    </xf>
    <xf numFmtId="14" fontId="7" fillId="2" borderId="3" xfId="0" applyNumberFormat="1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 wrapText="1"/>
    </xf>
    <xf numFmtId="0" fontId="7" fillId="2" borderId="12" xfId="0" applyFont="1" applyFill="1" applyBorder="1" applyAlignment="1">
      <alignment horizontal="left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14" fillId="4" borderId="17" xfId="0" applyFont="1" applyFill="1" applyBorder="1" applyAlignment="1">
      <alignment horizontal="center" vertical="center" wrapText="1"/>
    </xf>
    <xf numFmtId="0" fontId="14" fillId="4" borderId="18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left" vertical="center" wrapText="1" indent="1"/>
    </xf>
    <xf numFmtId="0" fontId="7" fillId="2" borderId="12" xfId="0" applyFont="1" applyFill="1" applyBorder="1" applyAlignment="1">
      <alignment horizontal="left" vertical="center" wrapText="1" indent="1"/>
    </xf>
    <xf numFmtId="0" fontId="7" fillId="2" borderId="13" xfId="0" applyFont="1" applyFill="1" applyBorder="1" applyAlignment="1">
      <alignment horizontal="left" vertical="center" wrapText="1" indent="1"/>
    </xf>
    <xf numFmtId="0" fontId="7" fillId="3" borderId="11" xfId="0" applyFont="1" applyFill="1" applyBorder="1" applyAlignment="1">
      <alignment horizontal="left" vertical="center" wrapText="1" indent="1"/>
    </xf>
    <xf numFmtId="0" fontId="7" fillId="3" borderId="12" xfId="0" applyFont="1" applyFill="1" applyBorder="1" applyAlignment="1">
      <alignment horizontal="left" vertical="center" wrapText="1" indent="1"/>
    </xf>
    <xf numFmtId="0" fontId="7" fillId="3" borderId="13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top"/>
    </xf>
    <xf numFmtId="0" fontId="11" fillId="3" borderId="5" xfId="0" applyFont="1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 wrapText="1"/>
    </xf>
    <xf numFmtId="0" fontId="9" fillId="3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left" vertical="top" wrapText="1"/>
    </xf>
    <xf numFmtId="0" fontId="7" fillId="2" borderId="14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15" xfId="0" applyFont="1" applyFill="1" applyBorder="1" applyAlignment="1">
      <alignment horizontal="left" vertical="center" wrapText="1"/>
    </xf>
    <xf numFmtId="0" fontId="7" fillId="3" borderId="11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2" borderId="11" xfId="0" applyFont="1" applyFill="1" applyBorder="1" applyAlignment="1">
      <alignment horizontal="left" vertical="center" wrapText="1"/>
    </xf>
    <xf numFmtId="0" fontId="7" fillId="2" borderId="12" xfId="0" applyFont="1" applyFill="1" applyBorder="1" applyAlignment="1">
      <alignment horizontal="left" vertical="center" wrapText="1"/>
    </xf>
    <xf numFmtId="0" fontId="20" fillId="2" borderId="1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right" vertical="center"/>
    </xf>
    <xf numFmtId="0" fontId="8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164" fontId="16" fillId="5" borderId="9" xfId="0" applyNumberFormat="1" applyFont="1" applyFill="1" applyBorder="1" applyAlignment="1">
      <alignment horizontal="right" vertical="center" wrapText="1"/>
    </xf>
    <xf numFmtId="9" fontId="15" fillId="5" borderId="9" xfId="0" applyNumberFormat="1" applyFont="1" applyFill="1" applyBorder="1" applyAlignment="1">
      <alignment horizontal="right" vertical="center" wrapText="1"/>
    </xf>
    <xf numFmtId="0" fontId="19" fillId="6" borderId="5" xfId="0" applyFont="1" applyFill="1" applyBorder="1" applyAlignment="1">
      <alignment horizontal="left" vertical="top" wrapText="1"/>
    </xf>
    <xf numFmtId="0" fontId="11" fillId="2" borderId="6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center" wrapText="1"/>
    </xf>
  </cellXfs>
  <cellStyles count="2">
    <cellStyle name="Normal" xfId="1" xr:uid="{00000000-0005-0000-0000-000001000000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104775</xdr:rowOff>
        </xdr:from>
        <xdr:to>
          <xdr:col>12</xdr:col>
          <xdr:colOff>419100</xdr:colOff>
          <xdr:row>4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rlito"/>
                </a:rPr>
                <a:t>Сохранить PDF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sulting@mikoton.r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I43"/>
  <sheetViews>
    <sheetView showGridLines="0" tabSelected="1" view="pageBreakPreview" zoomScale="160" zoomScaleNormal="130" zoomScaleSheetLayoutView="160" workbookViewId="0">
      <selection activeCell="D26" sqref="D26:F26"/>
    </sheetView>
  </sheetViews>
  <sheetFormatPr defaultRowHeight="14.25"/>
  <cols>
    <col min="1" max="1" width="4" style="1" customWidth="1"/>
    <col min="2" max="2" width="9.625" style="2" customWidth="1"/>
    <col min="3" max="3" width="18" style="2" customWidth="1"/>
    <col min="4" max="4" width="28" style="2" customWidth="1"/>
    <col min="5" max="5" width="10" style="2" customWidth="1"/>
    <col min="6" max="6" width="8.5" style="2" customWidth="1"/>
    <col min="7" max="7" width="13.5" style="2" customWidth="1"/>
    <col min="8" max="8" width="10" style="2" customWidth="1"/>
    <col min="9" max="9" width="14.5" style="2" customWidth="1"/>
  </cols>
  <sheetData>
    <row r="1" spans="1:9" ht="6.95" customHeight="1">
      <c r="A1" s="3"/>
      <c r="B1" s="3"/>
      <c r="C1" s="3"/>
      <c r="D1" s="3"/>
      <c r="E1" s="3"/>
      <c r="F1" s="3"/>
      <c r="G1" s="3"/>
      <c r="H1" s="3"/>
      <c r="I1" s="3"/>
    </row>
    <row r="2" spans="1:9" ht="27.95" customHeight="1">
      <c r="A2" s="3"/>
      <c r="B2" s="57" t="s">
        <v>0</v>
      </c>
      <c r="C2" s="58"/>
      <c r="D2" s="58"/>
      <c r="E2" s="58"/>
      <c r="F2" s="59" t="s">
        <v>1</v>
      </c>
      <c r="G2" s="58"/>
      <c r="H2" s="58"/>
      <c r="I2" s="58"/>
    </row>
    <row r="3" spans="1:9" ht="18" customHeight="1">
      <c r="A3" s="3"/>
      <c r="B3" s="42" t="s">
        <v>2</v>
      </c>
      <c r="C3" s="41"/>
      <c r="D3" s="41"/>
      <c r="E3" s="41"/>
      <c r="F3" s="4"/>
      <c r="G3" s="46" t="s">
        <v>3</v>
      </c>
      <c r="H3" s="41"/>
      <c r="I3" s="28">
        <f ca="1">TODAY()</f>
        <v>46198</v>
      </c>
    </row>
    <row r="4" spans="1:9" ht="8.1" customHeight="1">
      <c r="A4" s="3"/>
      <c r="B4" s="3"/>
      <c r="C4" s="3"/>
      <c r="D4" s="3"/>
      <c r="E4" s="3"/>
      <c r="F4" s="3"/>
      <c r="G4" s="3"/>
      <c r="H4" s="3"/>
      <c r="I4" s="3"/>
    </row>
    <row r="5" spans="1:9" ht="32.1" customHeight="1">
      <c r="A5" s="3"/>
      <c r="B5" s="60" t="s">
        <v>4</v>
      </c>
      <c r="C5" s="61"/>
      <c r="D5" s="61"/>
      <c r="E5" s="61"/>
      <c r="F5" s="61"/>
      <c r="G5" s="61"/>
      <c r="H5" s="61"/>
      <c r="I5" s="61"/>
    </row>
    <row r="6" spans="1:9" ht="8.1" customHeight="1">
      <c r="A6" s="3"/>
      <c r="B6" s="3"/>
      <c r="C6" s="3"/>
      <c r="D6" s="3"/>
      <c r="E6" s="3"/>
      <c r="F6" s="3"/>
      <c r="G6" s="3"/>
      <c r="H6" s="3"/>
      <c r="I6" s="3"/>
    </row>
    <row r="7" spans="1:9" ht="21.95" customHeight="1">
      <c r="A7" s="3"/>
      <c r="B7" s="45" t="s">
        <v>5</v>
      </c>
      <c r="C7" s="44"/>
      <c r="D7" s="44"/>
      <c r="E7" s="45" t="s">
        <v>6</v>
      </c>
      <c r="F7" s="44"/>
      <c r="G7" s="44"/>
      <c r="H7" s="45" t="s">
        <v>7</v>
      </c>
      <c r="I7" s="44"/>
    </row>
    <row r="8" spans="1:9" ht="21.95" customHeight="1">
      <c r="A8" s="3"/>
      <c r="B8" s="5" t="s">
        <v>8</v>
      </c>
      <c r="C8" s="43" t="s">
        <v>9</v>
      </c>
      <c r="D8" s="44"/>
      <c r="E8" s="5" t="s">
        <v>10</v>
      </c>
      <c r="F8" s="43" t="s">
        <v>11</v>
      </c>
      <c r="G8" s="44"/>
      <c r="H8" s="5" t="s">
        <v>12</v>
      </c>
      <c r="I8" s="6" t="s">
        <v>13</v>
      </c>
    </row>
    <row r="9" spans="1:9" ht="21.95" customHeight="1">
      <c r="A9" s="3"/>
      <c r="B9" s="5" t="s">
        <v>10</v>
      </c>
      <c r="C9" s="43" t="s">
        <v>14</v>
      </c>
      <c r="D9" s="44"/>
      <c r="E9" s="5" t="s">
        <v>15</v>
      </c>
      <c r="F9" s="43" t="s">
        <v>16</v>
      </c>
      <c r="G9" s="44"/>
      <c r="H9" s="5" t="s">
        <v>17</v>
      </c>
      <c r="I9" s="6" t="s">
        <v>18</v>
      </c>
    </row>
    <row r="10" spans="1:9" ht="9" customHeight="1">
      <c r="A10" s="3"/>
      <c r="B10" s="3"/>
      <c r="C10" s="3"/>
      <c r="D10" s="3"/>
      <c r="E10" s="3"/>
      <c r="F10" s="3"/>
      <c r="G10" s="3"/>
      <c r="H10" s="3"/>
      <c r="I10" s="3"/>
    </row>
    <row r="11" spans="1:9" ht="21" customHeight="1">
      <c r="A11" s="3"/>
      <c r="B11" s="25" t="s">
        <v>19</v>
      </c>
      <c r="C11" s="40" t="s">
        <v>20</v>
      </c>
      <c r="D11" s="41"/>
      <c r="E11" s="41"/>
      <c r="F11" s="41"/>
      <c r="G11" s="41"/>
      <c r="H11" s="41"/>
      <c r="I11" s="41"/>
    </row>
    <row r="12" spans="1:9" ht="48" customHeight="1">
      <c r="A12" s="3"/>
      <c r="B12" s="65" t="s">
        <v>21</v>
      </c>
      <c r="C12" s="66"/>
      <c r="D12" s="66"/>
      <c r="E12" s="66"/>
      <c r="F12" s="66"/>
      <c r="G12" s="66"/>
      <c r="H12" s="66"/>
      <c r="I12" s="66"/>
    </row>
    <row r="13" spans="1:9" ht="6.95" customHeight="1">
      <c r="A13" s="3"/>
      <c r="B13" s="3"/>
      <c r="C13" s="3"/>
      <c r="D13" s="3"/>
      <c r="E13" s="3"/>
      <c r="F13" s="3"/>
      <c r="G13" s="3"/>
      <c r="H13" s="3"/>
      <c r="I13" s="3"/>
    </row>
    <row r="14" spans="1:9" ht="6.95" customHeight="1">
      <c r="A14" s="3"/>
      <c r="B14" s="3"/>
      <c r="C14" s="3"/>
      <c r="D14" s="3"/>
      <c r="E14" s="3"/>
      <c r="F14" s="3"/>
      <c r="G14" s="3"/>
      <c r="H14" s="3"/>
      <c r="I14" s="3"/>
    </row>
    <row r="15" spans="1:9" ht="21" customHeight="1">
      <c r="A15" s="3"/>
      <c r="B15" s="25" t="s">
        <v>22</v>
      </c>
      <c r="C15" s="40" t="s">
        <v>23</v>
      </c>
      <c r="D15" s="41"/>
      <c r="E15" s="41"/>
      <c r="F15" s="41"/>
      <c r="G15" s="41"/>
      <c r="H15" s="41"/>
      <c r="I15" s="41"/>
    </row>
    <row r="16" spans="1:9" ht="24" customHeight="1">
      <c r="A16" s="3"/>
      <c r="B16" s="7" t="s">
        <v>24</v>
      </c>
      <c r="C16" s="7" t="s">
        <v>25</v>
      </c>
      <c r="D16" s="7" t="s">
        <v>26</v>
      </c>
      <c r="E16" s="7" t="s">
        <v>27</v>
      </c>
      <c r="F16" s="7" t="s">
        <v>28</v>
      </c>
      <c r="G16" s="7" t="s">
        <v>29</v>
      </c>
      <c r="H16" s="7" t="s">
        <v>30</v>
      </c>
      <c r="I16" s="7" t="s">
        <v>31</v>
      </c>
    </row>
    <row r="17" spans="1:9" ht="24" customHeight="1">
      <c r="A17" s="3"/>
      <c r="B17" s="8">
        <v>1</v>
      </c>
      <c r="C17" s="9" t="s">
        <v>32</v>
      </c>
      <c r="D17" s="10" t="s">
        <v>33</v>
      </c>
      <c r="E17" s="11">
        <v>2</v>
      </c>
      <c r="F17" s="8" t="s">
        <v>34</v>
      </c>
      <c r="G17" s="26">
        <v>5500</v>
      </c>
      <c r="H17" s="12">
        <v>0.15</v>
      </c>
      <c r="I17" s="26">
        <f>E17*G17*(1-H17)</f>
        <v>9350</v>
      </c>
    </row>
    <row r="18" spans="1:9" ht="33.950000000000003" customHeight="1">
      <c r="A18" s="3"/>
      <c r="B18" s="13">
        <v>2</v>
      </c>
      <c r="C18" s="14" t="s">
        <v>35</v>
      </c>
      <c r="D18" s="15" t="s">
        <v>36</v>
      </c>
      <c r="E18" s="16">
        <v>4</v>
      </c>
      <c r="F18" s="13" t="s">
        <v>34</v>
      </c>
      <c r="G18" s="27">
        <v>5500</v>
      </c>
      <c r="H18" s="17">
        <v>0.15</v>
      </c>
      <c r="I18" s="27">
        <f>E18*G18*(1-H18)</f>
        <v>18700</v>
      </c>
    </row>
    <row r="19" spans="1:9" ht="36" customHeight="1">
      <c r="A19" s="3"/>
      <c r="B19" s="8">
        <v>3</v>
      </c>
      <c r="C19" s="9" t="s">
        <v>37</v>
      </c>
      <c r="D19" s="10" t="s">
        <v>38</v>
      </c>
      <c r="E19" s="11">
        <v>8</v>
      </c>
      <c r="F19" s="8" t="s">
        <v>34</v>
      </c>
      <c r="G19" s="26">
        <v>5500</v>
      </c>
      <c r="H19" s="12">
        <v>0.15</v>
      </c>
      <c r="I19" s="26">
        <f>E19*G19*(1-H19)</f>
        <v>37400</v>
      </c>
    </row>
    <row r="20" spans="1:9" ht="27.95" customHeight="1">
      <c r="A20" s="3"/>
      <c r="B20" s="13">
        <v>4</v>
      </c>
      <c r="C20" s="14" t="s">
        <v>39</v>
      </c>
      <c r="D20" s="15" t="s">
        <v>40</v>
      </c>
      <c r="E20" s="16">
        <v>2</v>
      </c>
      <c r="F20" s="13" t="s">
        <v>34</v>
      </c>
      <c r="G20" s="27">
        <v>5500</v>
      </c>
      <c r="H20" s="17">
        <v>0.15</v>
      </c>
      <c r="I20" s="27">
        <f>E20*G20*(1-H20)</f>
        <v>9350</v>
      </c>
    </row>
    <row r="21" spans="1:9" ht="26.1" customHeight="1" thickBot="1">
      <c r="A21" s="3"/>
      <c r="B21" s="8">
        <v>5</v>
      </c>
      <c r="C21" s="9" t="s">
        <v>41</v>
      </c>
      <c r="D21" s="10" t="s">
        <v>42</v>
      </c>
      <c r="E21" s="11">
        <v>0</v>
      </c>
      <c r="F21" s="8" t="s">
        <v>43</v>
      </c>
      <c r="G21" s="26">
        <v>0</v>
      </c>
      <c r="H21" s="12">
        <v>0</v>
      </c>
      <c r="I21" s="26">
        <f>E21*G21*(1-H21)</f>
        <v>0</v>
      </c>
    </row>
    <row r="22" spans="1:9" ht="27.95" customHeight="1">
      <c r="A22" s="3"/>
      <c r="B22" s="18"/>
      <c r="C22" s="18"/>
      <c r="D22" s="18"/>
      <c r="E22" s="18"/>
      <c r="F22" s="18"/>
      <c r="G22" s="62" t="s">
        <v>44</v>
      </c>
      <c r="H22" s="63"/>
      <c r="I22" s="19">
        <f>SUM(I17:I21)</f>
        <v>74800</v>
      </c>
    </row>
    <row r="23" spans="1:9" ht="8.1" customHeight="1">
      <c r="A23" s="3"/>
      <c r="B23" s="3"/>
      <c r="C23" s="3"/>
      <c r="D23" s="3"/>
      <c r="E23" s="3"/>
      <c r="F23" s="3"/>
      <c r="G23" s="3"/>
      <c r="H23" s="3"/>
      <c r="I23" s="3"/>
    </row>
    <row r="24" spans="1:9" ht="6.95" customHeight="1">
      <c r="A24" s="3"/>
      <c r="B24" s="3"/>
      <c r="C24" s="3"/>
      <c r="D24" s="3"/>
      <c r="E24" s="3"/>
      <c r="F24" s="3"/>
      <c r="G24" s="3"/>
      <c r="H24" s="3"/>
      <c r="I24" s="3"/>
    </row>
    <row r="25" spans="1:9" ht="21" customHeight="1">
      <c r="A25" s="3"/>
      <c r="B25" s="25" t="s">
        <v>45</v>
      </c>
      <c r="C25" s="40" t="s">
        <v>46</v>
      </c>
      <c r="D25" s="41"/>
      <c r="E25" s="41"/>
      <c r="F25" s="41"/>
      <c r="G25" s="41"/>
      <c r="H25" s="41"/>
      <c r="I25" s="41"/>
    </row>
    <row r="26" spans="1:9" ht="24" customHeight="1">
      <c r="A26" s="3"/>
      <c r="B26" s="7" t="s">
        <v>47</v>
      </c>
      <c r="C26" s="7" t="s">
        <v>48</v>
      </c>
      <c r="D26" s="31" t="s">
        <v>49</v>
      </c>
      <c r="E26" s="32"/>
      <c r="F26" s="33"/>
      <c r="G26" s="31" t="s">
        <v>50</v>
      </c>
      <c r="H26" s="32"/>
      <c r="I26" s="33"/>
    </row>
    <row r="27" spans="1:9" ht="29.1" customHeight="1">
      <c r="A27" s="3"/>
      <c r="B27" s="20" t="s">
        <v>51</v>
      </c>
      <c r="C27" s="10" t="s">
        <v>52</v>
      </c>
      <c r="D27" s="48" t="s">
        <v>53</v>
      </c>
      <c r="E27" s="49"/>
      <c r="F27" s="50"/>
      <c r="G27" s="34" t="s">
        <v>54</v>
      </c>
      <c r="H27" s="35"/>
      <c r="I27" s="36"/>
    </row>
    <row r="28" spans="1:9" ht="29.1" customHeight="1">
      <c r="A28" s="3"/>
      <c r="B28" s="21" t="s">
        <v>55</v>
      </c>
      <c r="C28" s="15" t="s">
        <v>56</v>
      </c>
      <c r="D28" s="51" t="s">
        <v>57</v>
      </c>
      <c r="E28" s="52"/>
      <c r="F28" s="29"/>
      <c r="G28" s="37" t="s">
        <v>58</v>
      </c>
      <c r="H28" s="38"/>
      <c r="I28" s="39"/>
    </row>
    <row r="29" spans="1:9" ht="29.1" customHeight="1">
      <c r="A29" s="3"/>
      <c r="B29" s="20" t="s">
        <v>59</v>
      </c>
      <c r="C29" s="10" t="s">
        <v>60</v>
      </c>
      <c r="D29" s="53" t="s">
        <v>61</v>
      </c>
      <c r="E29" s="54"/>
      <c r="F29" s="30"/>
      <c r="G29" s="34" t="s">
        <v>62</v>
      </c>
      <c r="H29" s="35"/>
      <c r="I29" s="36"/>
    </row>
    <row r="30" spans="1:9" ht="8.1" customHeight="1">
      <c r="A30" s="3"/>
      <c r="B30" s="3"/>
      <c r="C30" s="3"/>
      <c r="D30" s="3"/>
      <c r="E30" s="3"/>
      <c r="F30" s="3"/>
      <c r="G30" s="3"/>
      <c r="H30" s="3"/>
      <c r="I30" s="3"/>
    </row>
    <row r="31" spans="1:9" ht="21" customHeight="1">
      <c r="A31" s="3"/>
      <c r="B31" s="25" t="s">
        <v>63</v>
      </c>
      <c r="C31" s="40" t="s">
        <v>64</v>
      </c>
      <c r="D31" s="41"/>
      <c r="E31" s="41"/>
      <c r="F31" s="41"/>
      <c r="G31" s="41"/>
      <c r="H31" s="41"/>
      <c r="I31" s="41"/>
    </row>
    <row r="32" spans="1:9" ht="50.1" customHeight="1">
      <c r="A32" s="3"/>
      <c r="B32" s="47" t="s">
        <v>65</v>
      </c>
      <c r="C32" s="47"/>
      <c r="D32" s="47"/>
      <c r="E32" s="47" t="s">
        <v>66</v>
      </c>
      <c r="F32" s="47"/>
      <c r="G32" s="47"/>
      <c r="H32" s="47"/>
      <c r="I32" s="47"/>
    </row>
    <row r="33" spans="1:9" ht="8.1" customHeight="1">
      <c r="A33" s="3"/>
      <c r="B33" s="3"/>
      <c r="C33" s="3"/>
      <c r="D33" s="3"/>
      <c r="E33" s="3"/>
      <c r="F33" s="3"/>
      <c r="G33" s="3"/>
      <c r="H33" s="3"/>
      <c r="I33" s="3"/>
    </row>
    <row r="34" spans="1:9" ht="21" customHeight="1">
      <c r="A34" s="3"/>
      <c r="B34" s="25" t="s">
        <v>67</v>
      </c>
      <c r="C34" s="40" t="s">
        <v>68</v>
      </c>
      <c r="D34" s="41"/>
      <c r="E34" s="41"/>
      <c r="F34" s="41"/>
      <c r="G34" s="41"/>
      <c r="H34" s="41"/>
      <c r="I34" s="41"/>
    </row>
    <row r="35" spans="1:9" ht="39.950000000000003" customHeight="1">
      <c r="A35" s="3"/>
      <c r="B35" s="64" t="s">
        <v>69</v>
      </c>
      <c r="C35" s="47"/>
      <c r="D35" s="47"/>
      <c r="E35" s="47"/>
      <c r="F35" s="47"/>
      <c r="G35" s="47"/>
      <c r="H35" s="47"/>
      <c r="I35" s="47"/>
    </row>
    <row r="36" spans="1:9" ht="9" customHeight="1">
      <c r="A36" s="3"/>
      <c r="B36" s="3"/>
      <c r="C36" s="3"/>
      <c r="D36" s="3"/>
      <c r="E36" s="3"/>
      <c r="F36" s="3"/>
      <c r="G36" s="3"/>
      <c r="H36" s="3"/>
      <c r="I36" s="3"/>
    </row>
    <row r="37" spans="1:9" ht="18" customHeight="1">
      <c r="A37" s="3"/>
      <c r="B37" s="55" t="s">
        <v>70</v>
      </c>
      <c r="C37" s="56"/>
      <c r="D37" s="56"/>
      <c r="E37" s="56"/>
      <c r="F37" s="56"/>
      <c r="G37" s="56"/>
      <c r="H37" s="56"/>
      <c r="I37" s="56"/>
    </row>
    <row r="38" spans="1:9" ht="9.9499999999999993" customHeight="1">
      <c r="A38" s="22"/>
      <c r="B38" s="23"/>
      <c r="C38" s="23"/>
      <c r="D38" s="23"/>
      <c r="E38" s="23"/>
      <c r="F38" s="23"/>
      <c r="G38" s="23"/>
      <c r="H38" s="23"/>
      <c r="I38" s="23"/>
    </row>
    <row r="39" spans="1:9" ht="15" customHeight="1">
      <c r="A39" s="22"/>
      <c r="B39" s="23"/>
      <c r="C39" s="23"/>
      <c r="D39" s="23"/>
      <c r="E39" s="23"/>
      <c r="F39" s="23"/>
      <c r="G39" s="23"/>
      <c r="H39" s="23"/>
      <c r="I39" s="23"/>
    </row>
    <row r="40" spans="1:9" ht="15" customHeight="1">
      <c r="A40" s="22"/>
      <c r="B40" s="23"/>
      <c r="C40" s="23"/>
      <c r="D40" s="23"/>
      <c r="E40" s="23"/>
      <c r="F40" s="23"/>
      <c r="G40" s="23"/>
      <c r="H40" s="23"/>
      <c r="I40" s="23"/>
    </row>
    <row r="41" spans="1:9" ht="15" customHeight="1">
      <c r="A41" s="22"/>
      <c r="B41" s="23"/>
      <c r="C41" s="23"/>
      <c r="D41" s="23"/>
      <c r="E41" s="23"/>
      <c r="F41" s="23"/>
      <c r="G41" s="23"/>
      <c r="H41" s="23"/>
      <c r="I41" s="23"/>
    </row>
    <row r="42" spans="1:9" ht="15" customHeight="1">
      <c r="A42" s="22"/>
      <c r="B42" s="24"/>
      <c r="C42" s="24"/>
      <c r="D42" s="24"/>
      <c r="E42" s="24"/>
      <c r="F42" s="24"/>
      <c r="G42" s="24"/>
      <c r="H42" s="24"/>
      <c r="I42" s="24"/>
    </row>
    <row r="43" spans="1:9" ht="15" customHeight="1">
      <c r="A43" s="22"/>
      <c r="B43" s="24"/>
      <c r="C43" s="24"/>
      <c r="D43" s="24"/>
      <c r="E43" s="24"/>
      <c r="F43" s="24"/>
      <c r="G43" s="24"/>
      <c r="H43" s="24"/>
      <c r="I43" s="24"/>
    </row>
  </sheetData>
  <mergeCells count="31">
    <mergeCell ref="B37:I37"/>
    <mergeCell ref="B2:E2"/>
    <mergeCell ref="B7:D7"/>
    <mergeCell ref="C25:I25"/>
    <mergeCell ref="F9:G9"/>
    <mergeCell ref="C8:D8"/>
    <mergeCell ref="C31:I31"/>
    <mergeCell ref="E32:I32"/>
    <mergeCell ref="F2:I2"/>
    <mergeCell ref="B5:I5"/>
    <mergeCell ref="G22:H22"/>
    <mergeCell ref="C11:I11"/>
    <mergeCell ref="B35:I35"/>
    <mergeCell ref="B12:I12"/>
    <mergeCell ref="B3:E3"/>
    <mergeCell ref="C9:D9"/>
    <mergeCell ref="C15:I15"/>
    <mergeCell ref="E7:G7"/>
    <mergeCell ref="G3:H3"/>
    <mergeCell ref="F8:G8"/>
    <mergeCell ref="H7:I7"/>
    <mergeCell ref="G26:I26"/>
    <mergeCell ref="G27:I27"/>
    <mergeCell ref="G28:I28"/>
    <mergeCell ref="G29:I29"/>
    <mergeCell ref="C34:I34"/>
    <mergeCell ref="B32:D32"/>
    <mergeCell ref="D26:F26"/>
    <mergeCell ref="D27:F27"/>
    <mergeCell ref="D28:E28"/>
    <mergeCell ref="D29:E29"/>
  </mergeCells>
  <hyperlinks>
    <hyperlink ref="F8" r:id="rId1" xr:uid="{00000000-0004-0000-0000-000000000000}"/>
  </hyperlinks>
  <printOptions horizontalCentered="1"/>
  <pageMargins left="0.35" right="0.35" top="0.4" bottom="0.35" header="0.15" footer="0.15"/>
  <pageSetup paperSize="9" scale="76" orientation="portrait" r:id="rId2"/>
  <headerFooter>
    <oddFooter>&amp;C&amp;8 MIKOTON • Коммерческое предложение • Страница &amp;P из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Лист1.SaveKPAsPDF">
                <anchor moveWithCells="1" sizeWithCells="1">
                  <from>
                    <xdr:col>10</xdr:col>
                    <xdr:colOff>447675</xdr:colOff>
                    <xdr:row>3</xdr:row>
                    <xdr:rowOff>104775</xdr:rowOff>
                  </from>
                  <to>
                    <xdr:col>12</xdr:col>
                    <xdr:colOff>419100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КП</vt:lpstr>
      <vt:lpstr>КП!Область_печати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Роман Шибеев</cp:lastModifiedBy>
  <cp:lastPrinted>2026-06-24T09:46:23Z</cp:lastPrinted>
  <dcterms:created xsi:type="dcterms:W3CDTF">2026-06-07T10:37:48Z</dcterms:created>
  <dcterms:modified xsi:type="dcterms:W3CDTF">2026-06-25T11:51:35Z</dcterms:modified>
</cp:coreProperties>
</file>